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Pengeluaran" sheetId="1" r:id="rId5"/>
    <sheet state="visible" name="Total pengeluaran" sheetId="2" r:id="rId6"/>
    <sheet state="visible" name="Transaksi by" sheetId="3" r:id="rId7"/>
    <sheet state="visible" name="Hasil akhir" sheetId="4" r:id="rId8"/>
    <sheet state="visible" name="Tabungan" sheetId="5" r:id="rId9"/>
    <sheet state="visible" name="Keuangan sewa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<sst xmlns="http://schemas.openxmlformats.org/spreadsheetml/2006/main" count="144" uniqueCount="80">
  <si>
    <t>TANGGAL</t>
  </si>
  <si>
    <t>PENDAPATAN</t>
  </si>
  <si>
    <t>TOTAL PENDAPATAN</t>
  </si>
  <si>
    <t>TOTAL PENGELUARAN</t>
  </si>
  <si>
    <t>TOTAL BERSIH</t>
  </si>
  <si>
    <t>BAR</t>
  </si>
  <si>
    <t>KITCHEN</t>
  </si>
  <si>
    <t>BAKER</t>
  </si>
  <si>
    <t xml:space="preserve">HASIL AKHIR PENGELUARAN DAN PENDAPATAN </t>
  </si>
  <si>
    <t>tanggal</t>
  </si>
  <si>
    <t>kategori</t>
  </si>
  <si>
    <t>Total pengeluaran</t>
  </si>
  <si>
    <t>nama barang</t>
  </si>
  <si>
    <t>qty</t>
  </si>
  <si>
    <t>satuan</t>
  </si>
  <si>
    <t>harga</t>
  </si>
  <si>
    <t>total harga</t>
  </si>
  <si>
    <t>Column 8</t>
  </si>
  <si>
    <t>Column 9</t>
  </si>
  <si>
    <t>Column 10</t>
  </si>
  <si>
    <t>QRIS</t>
  </si>
  <si>
    <t>Column 11</t>
  </si>
  <si>
    <t>Column 12</t>
  </si>
  <si>
    <t>Column 13</t>
  </si>
  <si>
    <t>Grand Total</t>
  </si>
  <si>
    <t>Column 14</t>
  </si>
  <si>
    <t>DEBIT</t>
  </si>
  <si>
    <t>Column 15</t>
  </si>
  <si>
    <t>CASH</t>
  </si>
  <si>
    <t>Column 16</t>
  </si>
  <si>
    <t>Column 17</t>
  </si>
  <si>
    <t>TOTAL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</si>
  <si>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</si>
  <si>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</si>
  <si>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</si>
  <si>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</si>
  <si>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</si>
  <si>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</si>
  <si>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</si>
  <si>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</si>
  <si>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</si>
  <si>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</si>
  <si>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OPERASIONAL</t>
  </si>
  <si>
    <t>galon</t>
  </si>
  <si>
    <t>kacang</t>
  </si>
  <si>
    <t>coklat</t>
  </si>
  <si>
    <t>lemon</t>
  </si>
  <si>
    <t>yupi</t>
  </si>
  <si>
    <t>CREAMCHEESE</t>
  </si>
  <si>
    <t>kg</t>
  </si>
  <si>
    <t>gula</t>
  </si>
  <si>
    <t>batu</t>
  </si>
  <si>
    <t>PASIR</t>
  </si>
  <si>
    <t>KARUNG</t>
  </si>
  <si>
    <t>es batu</t>
  </si>
  <si>
    <t>TABUNGAN</t>
  </si>
  <si>
    <t>pcs</t>
  </si>
  <si>
    <t>BARANG</t>
  </si>
  <si>
    <t>QTY</t>
  </si>
  <si>
    <t>BULAN</t>
  </si>
  <si>
    <t>SATUAN</t>
  </si>
  <si>
    <t>UANG MASUK</t>
  </si>
  <si>
    <t>PELUNASAN</t>
  </si>
  <si>
    <t>TOTAL HARGA</t>
  </si>
  <si>
    <t>TRF</t>
  </si>
  <si>
    <t>JANUARI</t>
  </si>
  <si>
    <t>MASUK</t>
  </si>
  <si>
    <t>KELUAR</t>
  </si>
  <si>
    <t>RUMUS</t>
  </si>
  <si>
    <t xml:space="preserve">Pengeluaran di (+) uang sewa (-) pendapatan  </t>
  </si>
  <si>
    <t>KURSI</t>
  </si>
  <si>
    <t>BUAH</t>
  </si>
  <si>
    <t>gula batu</t>
  </si>
  <si>
    <t>PLAFON</t>
  </si>
  <si>
    <t>madu</t>
  </si>
  <si>
    <t>ayam</t>
  </si>
  <si>
    <t>salt</t>
  </si>
  <si>
    <t>babi</t>
  </si>
  <si>
    <t>Sewa tempat</t>
  </si>
  <si>
    <t>bulan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</si>
</sst>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p]#,##0"/>
  </numFmts>
  <fonts count="8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sz val="12.0"/>
      <color theme="1"/>
      <name val="Times New Roman"/>
    </font>
    <font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2" fontId="1" numFmtId="0" xfId="0" applyAlignment="1" applyBorder="1" applyFill="1" applyFont="1">
      <alignment horizontal="center" readingOrder="0"/>
    </xf>
    <xf borderId="6" fillId="0" fontId="3" numFmtId="164" xfId="0" applyAlignment="1" applyBorder="1" applyFont="1" applyNumberFormat="1">
      <alignment readingOrder="0" vertical="bottom"/>
    </xf>
    <xf borderId="6" fillId="0" fontId="4" numFmtId="165" xfId="0" applyAlignment="1" applyBorder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vertical="center" wrapText="0"/>
    </xf>
    <xf borderId="0" fillId="3" fontId="6" numFmtId="0" xfId="0" applyAlignment="1" applyFill="1" applyFont="1">
      <alignment horizontal="center" readingOrder="0"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wrapText="1"/>
    </xf>
    <xf borderId="6" fillId="0" fontId="4" numFmtId="165" xfId="0" applyBorder="1" applyFont="1" applyNumberFormat="1"/>
    <xf borderId="0" fillId="0" fontId="5" numFmtId="164" xfId="0" applyFont="1" applyNumberForma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6" fillId="0" fontId="7" numFmtId="165" xfId="0" applyAlignment="1" applyBorder="1" applyFont="1" applyNumberFormat="1">
      <alignment horizontal="left" readingOrder="0" vertical="bottom"/>
    </xf>
    <xf borderId="0" fillId="0" fontId="5" numFmtId="165" xfId="0" applyFont="1" applyNumberFormat="1"/>
    <xf borderId="0" fillId="0" fontId="3" numFmtId="164" xfId="0" applyAlignment="1" applyFont="1" applyNumberFormat="1">
      <alignment readingOrder="0" shrinkToFit="0" vertical="bottom" wrapText="0"/>
    </xf>
    <xf borderId="0" fillId="3" fontId="6" numFmtId="165" xfId="0" applyAlignment="1" applyFill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6" fillId="0" fontId="4" numFmtId="0" xfId="0" applyBorder="1" applyFont="1"/>
    <xf borderId="0" fillId="0" fontId="5" numFmtId="165" xfId="0" applyAlignment="1" applyFont="1" applyNumberFormat="1">
      <alignment readingOrder="0" shrinkToFit="0" vertical="center" wrapText="0"/>
    </xf>
    <xf borderId="6" fillId="0" fontId="5" numFmtId="165" xfId="0" applyBorder="1" applyFont="1" applyNumberFormat="1"/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6" fillId="0" fontId="5" numFmtId="0" xfId="0" applyBorder="1" applyFont="1"/>
    <xf borderId="1" fillId="0" fontId="3" numFmtId="164" xfId="0" applyAlignment="1" applyBorder="1" applyFont="1" applyNumberFormat="1">
      <alignment readingOrder="0" vertical="bottom"/>
    </xf>
    <xf borderId="1" fillId="0" fontId="5" numFmtId="0" xfId="0" applyBorder="1" applyFont="1"/>
    <xf borderId="7" fillId="4" fontId="1" numFmtId="0" xfId="0" applyAlignment="1" applyBorder="1" applyFill="1" applyFont="1">
      <alignment readingOrder="0"/>
    </xf>
    <xf borderId="7" fillId="4" fontId="1" numFmtId="165" xfId="0" applyBorder="1" applyFill="1" applyFont="1" applyNumberFormat="1"/>
    <xf borderId="7" fillId="4" fontId="1" numFmtId="165" xfId="0" applyBorder="1" applyFill="1" applyFont="1" applyNumberFormat="1"/>
    <xf borderId="0" fillId="3" fontId="6" numFmtId="0" xfId="0" applyAlignment="1" applyFill="1" applyFont="1">
      <alignment horizontal="center" readingOrder="0" shrinkToFit="0" vertical="center" wrapText="0"/>
    </xf>
    <xf borderId="0" fillId="3" fontId="6" numFmtId="165" xfId="0" applyAlignment="1" applyFill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/>
    </xf>
    <xf borderId="0" fillId="3" fontId="5" numFmtId="0" xfId="0" applyAlignment="1" applyFill="1" applyFont="1">
      <alignment horizontal="center" readingOrder="0" vertical="center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3" fontId="5" numFmtId="165" xfId="0" applyAlignment="1" applyFill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 vertical="bottom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etail Pengeluaran-style">
      <tableStyleElement dxfId="1" type="headerRow"/>
      <tableStyleElement dxfId="2" type="firstRowStripe"/>
      <tableStyleElement dxfId="3" type="secondRowStripe"/>
      <tableStyleElement dxfId="6" size="0" type="wholeTable"/>
    </tableStyle>
    <tableStyle count="5" pivot="0" name="Transaksi by-style">
      <tableStyleElement dxfId="1" type="headerRow"/>
      <tableStyleElement dxfId="2" type="firstRowStripe"/>
      <tableStyleElement dxfId="4" type="secondRowStripe"/>
      <tableStyleElement dxfId="5" type="totalRow"/>
      <tableStyleElement dxfId="6" size="0" type="wholeTable"/>
    </tableStyle>
    <tableStyle count="5" pivot="0" name="Tabungan-style">
      <tableStyleElement dxfId="1" type="headerRow"/>
      <tableStyleElement dxfId="2" type="firstRowStripe"/>
      <tableStyleElement dxfId="3" type="secondRowStripe"/>
      <tableStyleElement dxfId="7" type="totalRow"/>
      <tableStyleElement dxfId="8" size="0" type="wholeTable"/>
    </tableStyle>
    <tableStyle count="5" pivot="0" name="Tabungan-style 2">
      <tableStyleElement dxfId="1" type="headerRow"/>
      <tableStyleElement dxfId="2" type="firstRowStripe"/>
      <tableStyleElement dxfId="3" type="secondRowStripe"/>
      <tableStyleElement dxfId="7" type="totalRow"/>
      <tableStyleElement dxfId="6" size="0" type="wholeTable"/>
    </tableStyle>
    <tableStyle count="4" pivot="0" name="Keuangan sewa-style">
      <tableStyleElement dxfId="1" type="headerRow"/>
      <tableStyleElement dxfId="2" type="firstRowStripe"/>
      <tableStyleElement dxfId="3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996" sheet="Detail Pengeluaran"/>
  </cacheSource>
  <cacheFields>
    <cacheField name="tanggal" numFmtId="164">
      <sharedItems containsDate="1" containsString="0" containsBlank="1">
        <d v="2026-08-01T00:00:00Z"/>
        <m/>
        <d v="2026-08-02T00:00:00Z"/>
        <d v="2026-08-03T00:00:00Z"/>
        <d v="2026-08-04T00:00:00Z"/>
        <d v="2026-08-05T00:00:00Z"/>
        <d v="2026-08-06T00:00:00Z"/>
        <d v="2026-08-07T00:00:00Z"/>
        <d v="2026-08-08T00:00:00Z"/>
        <d v="2026-08-09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0T00:00:00Z"/>
        <d v="2026-08-31T00:00:00Z"/>
      </sharedItems>
    </cacheField>
    <cacheField name="kategori" numFmtId="0">
      <sharedItems containsBlank="1">
        <s v="BAR"/>
        <s v="KITCHEN"/>
        <s v="BAKER"/>
        <s v="OPERASIONAL"/>
        <m/>
      </sharedItems>
    </cacheField>
    <cacheField name="nama barang" numFmtId="0">
      <sharedItems containsBlank="1">
        <s v="galon"/>
        <s v="kacang"/>
        <s v="coklat"/>
        <s v="lemon"/>
        <s v="yupi"/>
        <s v="CREAMCHEESE"/>
        <s v="gula"/>
        <s v="batu"/>
        <s v="PASIR"/>
        <m/>
        <s v="es batu"/>
        <s v="gula batu"/>
        <s v="madu"/>
        <s v="ayam"/>
        <s v="salt"/>
        <s v="babi"/>
        <s v="Sewa tempat"/>
      </sharedItems>
    </cacheField>
    <cacheField name="qty" numFmtId="0">
      <sharedItems containsString="0" containsBlank="1" containsNumber="1" containsInteger="1">
        <n v="1.0"/>
        <n v="2.0"/>
        <n v="3.0"/>
        <m/>
        <n v="12.0"/>
        <n v="4.0"/>
        <n v="5.0"/>
        <n v="6.0"/>
      </sharedItems>
    </cacheField>
    <cacheField name="satuan" numFmtId="0">
      <sharedItems containsBlank="1">
        <m/>
        <s v="kg"/>
        <s v="KARUNG"/>
        <s v="pcs"/>
        <s v="bulan"/>
      </sharedItems>
    </cacheField>
    <cacheField name="harga" numFmtId="165">
      <sharedItems containsString="0" containsBlank="1" containsNumber="1" containsInteger="1">
        <n v="15000.0"/>
        <n v="23000.0"/>
        <n v="20000.0"/>
        <n v="13000.0"/>
        <n v="90000.0"/>
        <n v="50000.0"/>
        <n v="10000.0"/>
        <m/>
        <n v="2000.0"/>
        <n v="4000.0"/>
        <n v="89000.0"/>
        <n v="200000.0"/>
        <n v="2940000.0"/>
      </sharedItems>
    </cacheField>
    <cacheField name="total harga" numFmtId="165">
      <sharedItems containsString="0" containsBlank="1" containsNumber="1" containsInteger="1">
        <n v="15000.0"/>
        <n v="46000.0"/>
        <n v="20000.0"/>
        <n v="39000.0"/>
        <n v="90000.0"/>
        <n v="50000.0"/>
        <n v="10000.0"/>
        <m/>
        <n v="180000.0"/>
        <n v="8000.0"/>
        <n v="267000.0"/>
        <n v="534000.0"/>
        <n v="0.0"/>
        <n v="445000.0"/>
        <n v="200000.0"/>
        <n v="2940000.0"/>
      </sharedItems>
    </cacheField>
    <cacheField name="Column 8" numFmtId="0">
      <sharedItems containsString="0" containsBlank="1">
        <m/>
      </sharedItems>
    </cacheField>
    <cacheField name="Column 9" numFmtId="0">
      <sharedItems containsString="0" containsBlank="1">
        <m/>
      </sharedItems>
    </cacheField>
    <cacheField name="Column 10" numFmtId="0">
      <sharedItems containsString="0" containsBlank="1">
        <m/>
      </sharedItems>
    </cacheField>
    <cacheField name="Column 11" numFmtId="0">
      <sharedItems containsString="0" containsBlank="1">
        <m/>
      </sharedItems>
    </cacheField>
    <cacheField name="Column 12" numFmtId="0">
      <sharedItems containsString="0" containsBlank="1">
        <m/>
      </sharedItems>
    </cacheField>
    <cacheField name="Column 13" numFmtId="0">
      <sharedItems containsString="0" containsBlank="1">
        <m/>
      </sharedItems>
    </cacheField>
    <cacheField name="Column 14" numFmtId="0">
      <sharedItems containsString="0" containsBlank="1">
        <m/>
      </sharedItems>
    </cacheField>
    <cacheField name="Column 15" numFmtId="0">
      <sharedItems containsString="0" containsBlank="1">
        <m/>
      </sharedItems>
    </cacheField>
    <cacheField name="Column 16" numFmtId="0">
      <sharedItems containsString="0" containsBlank="1">
        <m/>
      </sharedItems>
    </cacheField>
    <cacheField name="Column 17" numFmtId="0">
      <sharedItems containsString="0" containsBlank="1">
        <m/>
      </sharedItems>
    </cacheField>
    <cacheField name="Column 18" numFmtId="0">
      <sharedItems containsString="0" containsBlank="1">
        <m/>
      </sharedItems>
    </cacheField>
    <cacheField name="Column 19" numFmtId="0">
      <sharedItems containsString="0" containsBlank="1">
        <m/>
      </sharedItems>
    </cacheField>
    <cacheField name="Column 20" numFmtId="0">
      <sharedItems containsString="0" containsBlank="1">
        <m/>
      </sharedItems>
    </cacheField>
    <cacheField name="Column 21" numFmtId="0">
      <sharedItems containsString="0" containsBlank="1">
        <m/>
      </sharedItems>
    </cacheField>
    <cacheField name="Column 22" numFmtId="0">
      <sharedItems containsString="0" containsBlank="1">
        <m/>
      </sharedItems>
    </cacheField>
    <cacheField name="Column 23" numFmtId="0">
      <sharedItems containsString="0" containsBlank="1">
        <m/>
      </sharedItems>
    </cacheField>
    <cacheField name="Column 24" numFmtId="0">
      <sharedItems containsString="0" containsBlank="1">
        <m/>
      </sharedItems>
    </cacheField>
    <cacheField name="Column 25" numFmtId="0">
      <sharedItems containsString="0" containsBlank="1">
        <m/>
      </sharedItems>
    </cacheField>
    <cacheField name="Column 26" numFmtId="0">
      <sharedItems containsString="0" containsBlank="1">
        <m/>
      </sharedItems>
    </cacheField>
    <cacheField name="Column 27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pengeluaran" cacheId="0" dataCaption="" compact="0" compactData="0">
  <location ref="A1:AH8" firstHeaderRow="0" firstDataRow="1" firstDataCol="1"/>
  <pivotFields>
    <pivotField name="tanggal" axis="axisCol" compact="0" numFmtId="164" outline="0" multipleItemSelectionAllowed="1" showAll="0" sortType="ascending">
      <items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kategori" axis="axisRow" compact="0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nama bar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tu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arg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 harg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olumn 8" compact="0" outline="0" multipleItemSelectionAllowed="1" showAll="0">
      <items>
        <item x="0"/>
        <item t="default"/>
      </items>
    </pivotField>
    <pivotField name="Column 9" compact="0" outline="0" multipleItemSelectionAllowed="1" showAll="0">
      <items>
        <item x="0"/>
        <item t="default"/>
      </items>
    </pivotField>
    <pivotField name="Column 10" compact="0" outline="0" multipleItemSelectionAllowed="1" showAll="0">
      <items>
        <item x="0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  <pivotField name="Column 15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  <pivotField name="Column 17" compact="0" outline="0" multipleItemSelectionAllowed="1" showAll="0">
      <items>
        <item x="0"/>
        <item t="default"/>
      </items>
    </pivotField>
    <pivotField name="Column 18" compact="0" outline="0" multipleItemSelectionAllowed="1" showAll="0">
      <items>
        <item x="0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  <pivotField name="Column 27" compact="0" outline="0" multipleItemSelectionAllowed="1" showAll="0">
      <items>
        <item x="0"/>
        <item t="default"/>
      </items>
    </pivotField>
  </pivotFields>
  <rowFields>
    <field x="1"/>
  </rowFields>
  <colFields>
    <field x="0"/>
  </colFields>
  <dataFields>
    <dataField name="Total pengeluaran" fld="6" baseField="0"/>
  </dataFields>
</pivotTableDefinition>
</file>

<file path=xl/tables/table1.xml><?xml version="1.0" encoding="utf-8"?>
<table xmlns="http://schemas.openxmlformats.org/spreadsheetml/2006/main" ref="A1:AA63" displayName="Pengeluaran" name="Pengeluaran" id="1">
  <tableColumns count="27">
    <tableColumn name="tanggal" id="1"/>
    <tableColumn name="kategori" id="2"/>
    <tableColumn name="nama barang" id="3"/>
    <tableColumn name="qty" id="4"/>
    <tableColumn name="satuan" id="5"/>
    <tableColumn name="harga" id="6"/>
    <tableColumn name="total harga" id="7"/>
    <tableColumn name="Column 8" id="8"/>
    <tableColumn name="Column 9" id="9"/>
    <tableColumn name="Column 10" id="10"/>
    <tableColumn name="Column 11" id="11"/>
    <tableColumn name="Column 12" id="12"/>
    <tableColumn name="Column 13" id="13"/>
    <tableColumn name="Column 14" id="14"/>
    <tableColumn name="Column 15" id="15"/>
    <tableColumn name="Column 16" id="16"/>
    <tableColumn name="Column 17" id="17"/>
    <tableColumn name="Column 18" id="18"/>
    <tableColumn name="Column 19" id="19"/>
    <tableColumn name="Column 20" id="20"/>
    <tableColumn name="Column 21" id="21"/>
    <tableColumn name="Column 22" id="22"/>
    <tableColumn name="Column 23" id="23"/>
    <tableColumn name="Column 24" id="24"/>
    <tableColumn name="Column 25" id="25"/>
    <tableColumn name="Column 26" id="26"/>
    <tableColumn name="Column 27" id="27"/>
  </tableColumns>
  <tableStyleInfo name="Detail Pengeluaran-style" showColumnStripes="0" showFirstColumn="1" showLastColumn="1" showRowStripes="1"/>
</table>
</file>

<file path=xl/tables/table2.xml><?xml version="1.0" encoding="utf-8"?>
<table xmlns="http://schemas.openxmlformats.org/spreadsheetml/2006/main" totalsRowCount="1" ref="A4:E11" displayName="TRANSAKSI_BY" name="TRANSAKSI_BY" id="2">
  <tableColumns count="5">
    <tableColumn name="TANGGAL" id="1"/>
    <tableColumn totalsRowFunction="custom" name="QRIS" id="2"/>
    <tableColumn totalsRowFunction="custom" name="DEBIT" id="3"/>
    <tableColumn totalsRowFunction="custom" name="CASH" id="4"/>
    <tableColumn totalsRowFunction="custom" name="TOTAL" id="5"/>
  </tableColumns>
  <tableStyleInfo name="Transaksi by-style" showColumnStripes="0" showFirstColumn="1" showLastColumn="1" showRowStripes="1"/>
</table>
</file>

<file path=xl/tables/table3.xml><?xml version="1.0" encoding="utf-8"?>
<table xmlns="http://schemas.openxmlformats.org/spreadsheetml/2006/main" totalsRowCount="1" ref="A4:F7" displayName="KAS_KELUAR" name="KAS_KELUAR" id="3">
  <tableColumns count="6">
    <tableColumn name="TANGGAL" id="1"/>
    <tableColumn name="BARANG" id="2"/>
    <tableColumn name="QTY" id="3"/>
    <tableColumn name="SATUAN" id="4"/>
    <tableColumn name="TOTAL" id="5"/>
    <tableColumn totalsRowFunction="custom" name="TOTAL HARGA" id="6"/>
  </tableColumns>
  <tableStyleInfo name="Tabungan-style" showColumnStripes="0" showFirstColumn="1" showLastColumn="1" showRowStripes="1"/>
</table>
</file>

<file path=xl/tables/table4.xml><?xml version="1.0" encoding="utf-8"?>
<table xmlns="http://schemas.openxmlformats.org/spreadsheetml/2006/main" totalsRowCount="1" ref="H4:K8" displayName="TABUNGAN" name="TABUNGAN" id="4">
  <tableColumns count="4">
    <tableColumn name="TANGGAL" id="1"/>
    <tableColumn name="MASUK" id="2"/>
    <tableColumn name="KELUAR" id="3"/>
    <tableColumn totalsRowFunction="custom" name="TOTAL" id="4"/>
  </tableColumns>
  <tableStyleInfo name="Tabungan-style 2" showColumnStripes="0" showFirstColumn="1" showLastColumn="1" showRowStripes="1"/>
</table>
</file>

<file path=xl/tables/table5.xml><?xml version="1.0" encoding="utf-8"?>
<table xmlns="http://schemas.openxmlformats.org/spreadsheetml/2006/main" ref="A2:D3" displayName="Table1" name="Table1" id="5">
  <tableColumns count="4">
    <tableColumn name="BULAN" id="1"/>
    <tableColumn name="UANG MASUK" id="2"/>
    <tableColumn name="PELUNASAN" id="3"/>
    <tableColumn name="TRF" id="4"/>
  </tableColumns>
  <tableStyleInfo name="Keuangan sew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3" max="3" width="15.25"/>
    <col customWidth="1" min="6" max="6" width="13.0"/>
    <col customWidth="1" min="7" max="7" width="16.75"/>
  </cols>
  <sheetData>
    <row r="1" ht="22.5" customHeight="1">
      <c r="A1" s="11" t="s">
        <v>9</v>
      </c>
      <c r="B1" s="11" t="s">
        <v>10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8" t="s">
        <v>17</v>
      </c>
      <c r="I1" s="18" t="s">
        <v>18</v>
      </c>
      <c r="J1" s="18" t="s">
        <v>19</v>
      </c>
      <c r="K1" s="18" t="s">
        <v>21</v>
      </c>
      <c r="L1" s="18" t="s">
        <v>22</v>
      </c>
      <c r="M1" s="18" t="s">
        <v>23</v>
      </c>
      <c r="N1" s="18" t="s">
        <v>25</v>
      </c>
      <c r="O1" s="18" t="s">
        <v>27</v>
      </c>
      <c r="P1" s="18" t="s">
        <v>29</v>
      </c>
      <c r="Q1" s="18" t="s">
        <v>30</v>
      </c>
      <c r="R1" s="18" t="s">
        <v>32</v>
      </c>
      <c r="S1" s="18" t="s">
        <v>33</v>
      </c>
      <c r="T1" s="18" t="s">
        <v>34</v>
      </c>
      <c r="U1" s="18" t="s">
        <v>35</v>
      </c>
      <c r="V1" s="18" t="s">
        <v>36</v>
      </c>
      <c r="W1" s="18" t="s">
        <v>37</v>
      </c>
      <c r="X1" s="18" t="s">
        <v>38</v>
      </c>
      <c r="Y1" s="18" t="s">
        <v>39</v>
      </c>
      <c r="Z1" s="18" t="s">
        <v>40</v>
      </c>
      <c r="AA1" s="18" t="s">
        <v>41</v>
      </c>
    </row>
    <row r="2" ht="22.5" customHeight="1">
      <c r="A2" s="22">
        <v>46235.0</v>
      </c>
      <c r="B2" s="24" t="s">
        <v>5</v>
      </c>
      <c r="C2" s="24" t="s">
        <v>43</v>
      </c>
      <c r="D2" s="24">
        <v>1.0</v>
      </c>
      <c r="E2" s="24"/>
      <c r="F2" s="26">
        <v>15000.0</v>
      </c>
      <c r="G2" s="28">
        <f t="shared" ref="G2:G10" si="1">F2*D2</f>
        <v>15000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ht="22.5" customHeight="1">
      <c r="A3" s="22">
        <v>46235.0</v>
      </c>
      <c r="B3" s="24" t="s">
        <v>5</v>
      </c>
      <c r="C3" s="24" t="s">
        <v>44</v>
      </c>
      <c r="D3" s="24">
        <v>2.0</v>
      </c>
      <c r="E3" s="24"/>
      <c r="F3" s="26">
        <v>23000.0</v>
      </c>
      <c r="G3" s="28">
        <f t="shared" si="1"/>
        <v>46000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ht="22.5" customHeight="1">
      <c r="A4" s="22">
        <v>46235.0</v>
      </c>
      <c r="B4" s="24" t="s">
        <v>5</v>
      </c>
      <c r="C4" s="24" t="s">
        <v>45</v>
      </c>
      <c r="D4" s="24">
        <v>1.0</v>
      </c>
      <c r="E4" s="24"/>
      <c r="F4" s="26">
        <v>20000.0</v>
      </c>
      <c r="G4" s="28">
        <f t="shared" si="1"/>
        <v>20000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ht="22.5" customHeight="1">
      <c r="A5" s="22">
        <v>46235.0</v>
      </c>
      <c r="B5" s="24" t="s">
        <v>6</v>
      </c>
      <c r="C5" s="24" t="s">
        <v>46</v>
      </c>
      <c r="D5" s="24">
        <v>3.0</v>
      </c>
      <c r="E5" s="24"/>
      <c r="F5" s="26">
        <v>13000.0</v>
      </c>
      <c r="G5" s="28">
        <f t="shared" si="1"/>
        <v>39000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ht="22.5" customHeight="1">
      <c r="A6" s="22">
        <v>46235.0</v>
      </c>
      <c r="B6" s="24" t="s">
        <v>6</v>
      </c>
      <c r="C6" s="24" t="s">
        <v>47</v>
      </c>
      <c r="D6" s="24">
        <v>1.0</v>
      </c>
      <c r="E6" s="24"/>
      <c r="F6" s="26">
        <v>20000.0</v>
      </c>
      <c r="G6" s="28">
        <f t="shared" si="1"/>
        <v>20000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ht="22.5" customHeight="1">
      <c r="A7" s="22">
        <v>46235.0</v>
      </c>
      <c r="B7" s="24" t="s">
        <v>7</v>
      </c>
      <c r="C7" s="24" t="s">
        <v>48</v>
      </c>
      <c r="D7" s="24">
        <v>1.0</v>
      </c>
      <c r="E7" s="24" t="s">
        <v>49</v>
      </c>
      <c r="F7" s="26">
        <v>90000.0</v>
      </c>
      <c r="G7" s="28">
        <f t="shared" si="1"/>
        <v>90000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ht="22.5" customHeight="1">
      <c r="A8" s="22">
        <v>46235.0</v>
      </c>
      <c r="B8" s="24" t="s">
        <v>7</v>
      </c>
      <c r="C8" s="24" t="s">
        <v>50</v>
      </c>
      <c r="D8" s="24">
        <v>1.0</v>
      </c>
      <c r="F8" s="26">
        <v>20000.0</v>
      </c>
      <c r="G8" s="28">
        <f t="shared" si="1"/>
        <v>20000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22.5" customHeight="1">
      <c r="A9" s="22">
        <v>46235.0</v>
      </c>
      <c r="B9" s="24" t="s">
        <v>7</v>
      </c>
      <c r="C9" s="24" t="s">
        <v>51</v>
      </c>
      <c r="D9" s="24">
        <v>1.0</v>
      </c>
      <c r="F9" s="26">
        <v>50000.0</v>
      </c>
      <c r="G9" s="28">
        <f t="shared" si="1"/>
        <v>50000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22.5" customHeight="1">
      <c r="A10" s="22">
        <v>46235.0</v>
      </c>
      <c r="B10" s="24" t="s">
        <v>42</v>
      </c>
      <c r="C10" s="24" t="s">
        <v>52</v>
      </c>
      <c r="D10" s="24">
        <v>1.0</v>
      </c>
      <c r="E10" s="24" t="s">
        <v>53</v>
      </c>
      <c r="F10" s="26">
        <v>10000.0</v>
      </c>
      <c r="G10" s="28">
        <f t="shared" si="1"/>
        <v>10000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22.5" customHeight="1">
      <c r="A11" s="22"/>
      <c r="B11" s="24"/>
      <c r="C11" s="24"/>
      <c r="D11" s="24"/>
      <c r="F11" s="26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22.5" customHeight="1">
      <c r="A12" s="22">
        <v>46236.0</v>
      </c>
      <c r="B12" s="38" t="s">
        <v>5</v>
      </c>
      <c r="C12" s="38" t="s">
        <v>54</v>
      </c>
      <c r="D12" s="38">
        <v>12.0</v>
      </c>
      <c r="E12" s="38" t="s">
        <v>56</v>
      </c>
      <c r="F12" s="41">
        <v>15000.0</v>
      </c>
      <c r="G12" s="42">
        <f t="shared" ref="G12:G63" si="2">F12*D12</f>
        <v>180000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22.5" customHeight="1">
      <c r="A13" s="22">
        <v>46236.0</v>
      </c>
      <c r="B13" s="38" t="s">
        <v>5</v>
      </c>
      <c r="C13" s="38" t="s">
        <v>72</v>
      </c>
      <c r="D13" s="38">
        <v>4.0</v>
      </c>
      <c r="E13" s="38" t="s">
        <v>56</v>
      </c>
      <c r="F13" s="41">
        <v>2000.0</v>
      </c>
      <c r="G13" s="42">
        <f t="shared" si="2"/>
        <v>8000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22.5" customHeight="1">
      <c r="A14" s="22">
        <v>46236.0</v>
      </c>
      <c r="B14" s="38" t="s">
        <v>6</v>
      </c>
      <c r="C14" s="38" t="s">
        <v>74</v>
      </c>
      <c r="D14" s="38">
        <v>5.0</v>
      </c>
      <c r="E14" s="38" t="s">
        <v>56</v>
      </c>
      <c r="F14" s="41">
        <v>4000.0</v>
      </c>
      <c r="G14" s="42">
        <f t="shared" si="2"/>
        <v>20000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22.5" customHeight="1">
      <c r="A15" s="22">
        <v>46236.0</v>
      </c>
      <c r="B15" s="38" t="s">
        <v>6</v>
      </c>
      <c r="C15" s="38" t="s">
        <v>75</v>
      </c>
      <c r="D15" s="38">
        <v>3.0</v>
      </c>
      <c r="E15" s="38" t="s">
        <v>56</v>
      </c>
      <c r="F15" s="41">
        <v>89000.0</v>
      </c>
      <c r="G15" s="42">
        <f t="shared" si="2"/>
        <v>267000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22.5" customHeight="1">
      <c r="A16" s="22">
        <v>46236.0</v>
      </c>
      <c r="B16" s="38" t="s">
        <v>7</v>
      </c>
      <c r="C16" s="38" t="s">
        <v>76</v>
      </c>
      <c r="D16" s="38">
        <v>6.0</v>
      </c>
      <c r="E16" s="38" t="s">
        <v>56</v>
      </c>
      <c r="F16" s="41">
        <v>89000.0</v>
      </c>
      <c r="G16" s="42">
        <f t="shared" si="2"/>
        <v>534000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22.5" customHeight="1">
      <c r="A17" s="22">
        <v>46236.0</v>
      </c>
      <c r="B17" s="38" t="s">
        <v>7</v>
      </c>
      <c r="C17" s="38" t="s">
        <v>76</v>
      </c>
      <c r="D17" s="38">
        <v>6.0</v>
      </c>
      <c r="E17" s="38" t="s">
        <v>56</v>
      </c>
      <c r="F17" s="41">
        <v>89000.0</v>
      </c>
      <c r="G17" s="42">
        <f t="shared" si="2"/>
        <v>534000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22.5" customHeight="1">
      <c r="A18" s="22"/>
      <c r="B18" s="38"/>
      <c r="C18" s="38"/>
      <c r="D18" s="38"/>
      <c r="E18" s="38"/>
      <c r="F18" s="41"/>
      <c r="G18" s="42">
        <f t="shared" si="2"/>
        <v>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22.5" customHeight="1">
      <c r="A19" s="22">
        <v>46237.0</v>
      </c>
      <c r="B19" s="38" t="s">
        <v>5</v>
      </c>
      <c r="C19" s="38" t="s">
        <v>76</v>
      </c>
      <c r="D19" s="38">
        <v>5.0</v>
      </c>
      <c r="E19" s="38" t="s">
        <v>56</v>
      </c>
      <c r="F19" s="41">
        <v>89000.0</v>
      </c>
      <c r="G19" s="42">
        <f t="shared" si="2"/>
        <v>445000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22.5" customHeight="1">
      <c r="A20" s="22">
        <v>46237.0</v>
      </c>
      <c r="B20" s="38" t="s">
        <v>7</v>
      </c>
      <c r="C20" s="38" t="s">
        <v>76</v>
      </c>
      <c r="D20" s="38">
        <v>6.0</v>
      </c>
      <c r="E20" s="38" t="s">
        <v>56</v>
      </c>
      <c r="F20" s="41">
        <v>89000.0</v>
      </c>
      <c r="G20" s="42">
        <f t="shared" si="2"/>
        <v>534000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22.5" customHeight="1">
      <c r="A21" s="22">
        <v>46237.0</v>
      </c>
      <c r="B21" s="38" t="s">
        <v>7</v>
      </c>
      <c r="C21" s="38" t="s">
        <v>76</v>
      </c>
      <c r="D21" s="38">
        <v>6.0</v>
      </c>
      <c r="E21" s="38" t="s">
        <v>56</v>
      </c>
      <c r="F21" s="41">
        <v>89000.0</v>
      </c>
      <c r="G21" s="42">
        <f t="shared" si="2"/>
        <v>534000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22.5" customHeight="1">
      <c r="A22" s="22"/>
      <c r="B22" s="38"/>
      <c r="C22" s="38"/>
      <c r="D22" s="38"/>
      <c r="E22" s="38"/>
      <c r="F22" s="41"/>
      <c r="G22" s="42">
        <f t="shared" si="2"/>
        <v>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22.5" customHeight="1">
      <c r="A23" s="22">
        <v>46238.0</v>
      </c>
      <c r="B23" s="38" t="s">
        <v>7</v>
      </c>
      <c r="C23" s="38" t="s">
        <v>76</v>
      </c>
      <c r="D23" s="38">
        <v>6.0</v>
      </c>
      <c r="E23" s="38" t="s">
        <v>56</v>
      </c>
      <c r="F23" s="41">
        <v>89000.0</v>
      </c>
      <c r="G23" s="42">
        <f t="shared" si="2"/>
        <v>534000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22.5" customHeight="1">
      <c r="A24" s="22"/>
      <c r="B24" s="38"/>
      <c r="C24" s="38"/>
      <c r="D24" s="38"/>
      <c r="E24" s="38"/>
      <c r="F24" s="41"/>
      <c r="G24" s="42">
        <f t="shared" si="2"/>
        <v>0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22.5" customHeight="1">
      <c r="A25" s="22">
        <v>46239.0</v>
      </c>
      <c r="B25" s="38" t="s">
        <v>7</v>
      </c>
      <c r="C25" s="38" t="s">
        <v>76</v>
      </c>
      <c r="D25" s="38">
        <v>6.0</v>
      </c>
      <c r="E25" s="38" t="s">
        <v>56</v>
      </c>
      <c r="F25" s="41">
        <v>89000.0</v>
      </c>
      <c r="G25" s="42">
        <f t="shared" si="2"/>
        <v>534000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22.5" customHeight="1">
      <c r="A26" s="22"/>
      <c r="B26" s="38"/>
      <c r="C26" s="38"/>
      <c r="D26" s="38"/>
      <c r="E26" s="38"/>
      <c r="F26" s="41"/>
      <c r="G26" s="42">
        <f t="shared" si="2"/>
        <v>0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22.5" customHeight="1">
      <c r="A27" s="22">
        <v>46240.0</v>
      </c>
      <c r="B27" s="38" t="s">
        <v>7</v>
      </c>
      <c r="C27" s="38" t="s">
        <v>76</v>
      </c>
      <c r="D27" s="38">
        <v>6.0</v>
      </c>
      <c r="E27" s="38" t="s">
        <v>56</v>
      </c>
      <c r="F27" s="41">
        <v>89000.0</v>
      </c>
      <c r="G27" s="42">
        <f t="shared" si="2"/>
        <v>534000</v>
      </c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22.5" customHeight="1">
      <c r="A28" s="22"/>
      <c r="B28" s="38"/>
      <c r="C28" s="38"/>
      <c r="D28" s="38"/>
      <c r="E28" s="38"/>
      <c r="F28" s="41"/>
      <c r="G28" s="42">
        <f t="shared" si="2"/>
        <v>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22.5" customHeight="1">
      <c r="A29" s="22">
        <v>46241.0</v>
      </c>
      <c r="B29" s="38" t="s">
        <v>7</v>
      </c>
      <c r="C29" s="38" t="s">
        <v>76</v>
      </c>
      <c r="D29" s="38">
        <v>6.0</v>
      </c>
      <c r="E29" s="38" t="s">
        <v>56</v>
      </c>
      <c r="F29" s="41">
        <v>89000.0</v>
      </c>
      <c r="G29" s="42">
        <f t="shared" si="2"/>
        <v>534000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22.5" customHeight="1">
      <c r="A30" s="22"/>
      <c r="B30" s="38"/>
      <c r="C30" s="38"/>
      <c r="D30" s="38"/>
      <c r="E30" s="38"/>
      <c r="F30" s="41"/>
      <c r="G30" s="42">
        <f t="shared" si="2"/>
        <v>0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22.5" customHeight="1">
      <c r="A31" s="22">
        <v>46242.0</v>
      </c>
      <c r="B31" s="38" t="s">
        <v>7</v>
      </c>
      <c r="C31" s="38" t="s">
        <v>76</v>
      </c>
      <c r="D31" s="38">
        <v>6.0</v>
      </c>
      <c r="E31" s="38" t="s">
        <v>56</v>
      </c>
      <c r="F31" s="41">
        <v>89000.0</v>
      </c>
      <c r="G31" s="42">
        <f t="shared" si="2"/>
        <v>534000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22.5" customHeight="1">
      <c r="A32" s="22">
        <v>46243.0</v>
      </c>
      <c r="B32" s="38" t="s">
        <v>7</v>
      </c>
      <c r="C32" s="38" t="s">
        <v>76</v>
      </c>
      <c r="D32" s="38">
        <v>6.0</v>
      </c>
      <c r="E32" s="38" t="s">
        <v>56</v>
      </c>
      <c r="F32" s="41">
        <v>89000.0</v>
      </c>
      <c r="G32" s="42">
        <f t="shared" si="2"/>
        <v>534000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22.5" customHeight="1">
      <c r="A33" s="22">
        <v>46244.0</v>
      </c>
      <c r="B33" s="38" t="s">
        <v>42</v>
      </c>
      <c r="C33" s="38" t="s">
        <v>77</v>
      </c>
      <c r="D33" s="38">
        <v>1.0</v>
      </c>
      <c r="E33" s="38" t="s">
        <v>56</v>
      </c>
      <c r="F33" s="41">
        <v>200000.0</v>
      </c>
      <c r="G33" s="42">
        <f t="shared" si="2"/>
        <v>200000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22.5" customHeight="1">
      <c r="A34" s="22">
        <v>46237.0</v>
      </c>
      <c r="B34" s="38"/>
      <c r="C34" s="38"/>
      <c r="D34" s="38"/>
      <c r="E34" s="38"/>
      <c r="F34" s="41"/>
      <c r="G34" s="42">
        <f t="shared" si="2"/>
        <v>0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22.5" customHeight="1">
      <c r="A35" s="22">
        <v>46237.0</v>
      </c>
      <c r="B35" s="38"/>
      <c r="C35" s="38"/>
      <c r="D35" s="38"/>
      <c r="E35" s="38"/>
      <c r="F35" s="41"/>
      <c r="G35" s="42">
        <f t="shared" si="2"/>
        <v>0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22.5" customHeight="1">
      <c r="A36" s="22">
        <v>46238.0</v>
      </c>
      <c r="B36" s="38"/>
      <c r="C36" s="38"/>
      <c r="D36" s="38"/>
      <c r="E36" s="38"/>
      <c r="F36" s="41"/>
      <c r="G36" s="42">
        <f t="shared" si="2"/>
        <v>0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22.5" customHeight="1">
      <c r="A37" s="22">
        <v>46239.0</v>
      </c>
      <c r="B37" s="38"/>
      <c r="C37" s="38"/>
      <c r="D37" s="38"/>
      <c r="E37" s="38"/>
      <c r="F37" s="41"/>
      <c r="G37" s="42">
        <f t="shared" si="2"/>
        <v>0</v>
      </c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22.5" customHeight="1">
      <c r="A38" s="22">
        <v>46240.0</v>
      </c>
      <c r="B38" s="38"/>
      <c r="C38" s="38"/>
      <c r="D38" s="38"/>
      <c r="E38" s="38"/>
      <c r="F38" s="41"/>
      <c r="G38" s="42">
        <f t="shared" si="2"/>
        <v>0</v>
      </c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22.5" customHeight="1">
      <c r="A39" s="22">
        <v>46241.0</v>
      </c>
      <c r="B39" s="38"/>
      <c r="C39" s="38"/>
      <c r="D39" s="38"/>
      <c r="E39" s="38"/>
      <c r="F39" s="41"/>
      <c r="G39" s="42">
        <f t="shared" si="2"/>
        <v>0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22.5" customHeight="1">
      <c r="A40" s="22">
        <v>46242.0</v>
      </c>
      <c r="B40" s="38"/>
      <c r="C40" s="38"/>
      <c r="D40" s="38"/>
      <c r="E40" s="38"/>
      <c r="F40" s="41"/>
      <c r="G40" s="42">
        <f t="shared" si="2"/>
        <v>0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22.5" customHeight="1">
      <c r="A41" s="22">
        <v>46243.0</v>
      </c>
      <c r="B41" s="38"/>
      <c r="C41" s="38"/>
      <c r="D41" s="38"/>
      <c r="E41" s="38"/>
      <c r="F41" s="41"/>
      <c r="G41" s="42">
        <f t="shared" si="2"/>
        <v>0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22.5" customHeight="1">
      <c r="A42" s="22">
        <v>46244.0</v>
      </c>
      <c r="B42" s="38"/>
      <c r="C42" s="38"/>
      <c r="D42" s="38"/>
      <c r="E42" s="38"/>
      <c r="F42" s="41"/>
      <c r="G42" s="42">
        <f t="shared" si="2"/>
        <v>0</v>
      </c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22.5" customHeight="1">
      <c r="A43" s="22">
        <v>46245.0</v>
      </c>
      <c r="B43" s="38"/>
      <c r="C43" s="38"/>
      <c r="D43" s="38"/>
      <c r="E43" s="38"/>
      <c r="F43" s="41"/>
      <c r="G43" s="42">
        <f t="shared" si="2"/>
        <v>0</v>
      </c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22.5" customHeight="1">
      <c r="A44" s="22">
        <v>46246.0</v>
      </c>
      <c r="B44" s="38"/>
      <c r="C44" s="38"/>
      <c r="D44" s="38"/>
      <c r="E44" s="38"/>
      <c r="F44" s="41"/>
      <c r="G44" s="42">
        <f t="shared" si="2"/>
        <v>0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22.5" customHeight="1">
      <c r="A45" s="22">
        <v>46247.0</v>
      </c>
      <c r="B45" s="38"/>
      <c r="C45" s="38"/>
      <c r="D45" s="38"/>
      <c r="E45" s="38"/>
      <c r="F45" s="41"/>
      <c r="G45" s="42">
        <f t="shared" si="2"/>
        <v>0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22.5" customHeight="1">
      <c r="A46" s="22">
        <v>46248.0</v>
      </c>
      <c r="B46" s="38"/>
      <c r="C46" s="38"/>
      <c r="D46" s="38"/>
      <c r="E46" s="38"/>
      <c r="F46" s="41"/>
      <c r="G46" s="42">
        <f t="shared" si="2"/>
        <v>0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22.5" customHeight="1">
      <c r="A47" s="22">
        <v>46249.0</v>
      </c>
      <c r="B47" s="38"/>
      <c r="C47" s="38"/>
      <c r="D47" s="38"/>
      <c r="E47" s="38"/>
      <c r="F47" s="41"/>
      <c r="G47" s="42">
        <f t="shared" si="2"/>
        <v>0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22.5" customHeight="1">
      <c r="A48" s="22">
        <v>46250.0</v>
      </c>
      <c r="B48" s="38"/>
      <c r="C48" s="38"/>
      <c r="D48" s="38"/>
      <c r="E48" s="38"/>
      <c r="F48" s="41"/>
      <c r="G48" s="42">
        <f t="shared" si="2"/>
        <v>0</v>
      </c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22.5" customHeight="1">
      <c r="A49" s="22">
        <v>46251.0</v>
      </c>
      <c r="B49" s="38"/>
      <c r="C49" s="38"/>
      <c r="D49" s="38"/>
      <c r="E49" s="38"/>
      <c r="F49" s="41"/>
      <c r="G49" s="42">
        <f t="shared" si="2"/>
        <v>0</v>
      </c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22.5" customHeight="1">
      <c r="A50" s="22">
        <v>46252.0</v>
      </c>
      <c r="B50" s="38"/>
      <c r="C50" s="38"/>
      <c r="D50" s="38"/>
      <c r="E50" s="38"/>
      <c r="F50" s="41"/>
      <c r="G50" s="42">
        <f t="shared" si="2"/>
        <v>0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22.5" customHeight="1">
      <c r="A51" s="22">
        <v>46253.0</v>
      </c>
      <c r="B51" s="38"/>
      <c r="C51" s="38"/>
      <c r="D51" s="38"/>
      <c r="E51" s="38"/>
      <c r="F51" s="41"/>
      <c r="G51" s="42">
        <f t="shared" si="2"/>
        <v>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22.5" customHeight="1">
      <c r="A52" s="22">
        <v>46254.0</v>
      </c>
      <c r="B52" s="38"/>
      <c r="C52" s="38"/>
      <c r="D52" s="38"/>
      <c r="E52" s="38"/>
      <c r="F52" s="41"/>
      <c r="G52" s="42">
        <f t="shared" si="2"/>
        <v>0</v>
      </c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22.5" customHeight="1">
      <c r="A53" s="22">
        <v>46255.0</v>
      </c>
      <c r="B53" s="38"/>
      <c r="C53" s="38"/>
      <c r="D53" s="38"/>
      <c r="E53" s="38"/>
      <c r="F53" s="41"/>
      <c r="G53" s="42">
        <f t="shared" si="2"/>
        <v>0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22.5" customHeight="1">
      <c r="A54" s="22">
        <v>46256.0</v>
      </c>
      <c r="B54" s="38"/>
      <c r="C54" s="38"/>
      <c r="D54" s="38"/>
      <c r="E54" s="38"/>
      <c r="F54" s="41"/>
      <c r="G54" s="42">
        <f t="shared" si="2"/>
        <v>0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22.5" customHeight="1">
      <c r="A55" s="22">
        <v>46257.0</v>
      </c>
      <c r="B55" s="38"/>
      <c r="C55" s="38"/>
      <c r="D55" s="38"/>
      <c r="E55" s="38"/>
      <c r="F55" s="41"/>
      <c r="G55" s="42">
        <f t="shared" si="2"/>
        <v>0</v>
      </c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22.5" customHeight="1">
      <c r="A56" s="22">
        <v>46258.0</v>
      </c>
      <c r="B56" s="38"/>
      <c r="C56" s="38"/>
      <c r="D56" s="38"/>
      <c r="E56" s="38"/>
      <c r="F56" s="41"/>
      <c r="G56" s="42">
        <f t="shared" si="2"/>
        <v>0</v>
      </c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22.5" customHeight="1">
      <c r="A57" s="22">
        <v>46259.0</v>
      </c>
      <c r="B57" s="38"/>
      <c r="C57" s="38"/>
      <c r="D57" s="38"/>
      <c r="E57" s="38"/>
      <c r="F57" s="41"/>
      <c r="G57" s="42">
        <f t="shared" si="2"/>
        <v>0</v>
      </c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22.5" customHeight="1">
      <c r="A58" s="22">
        <v>46260.0</v>
      </c>
      <c r="B58" s="38"/>
      <c r="C58" s="38"/>
      <c r="D58" s="38"/>
      <c r="E58" s="38"/>
      <c r="F58" s="41"/>
      <c r="G58" s="42">
        <f t="shared" si="2"/>
        <v>0</v>
      </c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22.5" customHeight="1">
      <c r="A59" s="22">
        <v>46261.0</v>
      </c>
      <c r="B59" s="38"/>
      <c r="C59" s="38"/>
      <c r="D59" s="38"/>
      <c r="E59" s="38"/>
      <c r="F59" s="41"/>
      <c r="G59" s="42">
        <f t="shared" si="2"/>
        <v>0</v>
      </c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22.5" customHeight="1">
      <c r="A60" s="22">
        <v>46262.0</v>
      </c>
      <c r="B60" s="38"/>
      <c r="C60" s="38"/>
      <c r="D60" s="38"/>
      <c r="E60" s="38"/>
      <c r="F60" s="41"/>
      <c r="G60" s="42">
        <f t="shared" si="2"/>
        <v>0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22.5" customHeight="1">
      <c r="A61" s="22">
        <v>46263.0</v>
      </c>
      <c r="B61" s="38"/>
      <c r="C61" s="38"/>
      <c r="D61" s="38"/>
      <c r="E61" s="38"/>
      <c r="F61" s="41"/>
      <c r="G61" s="42">
        <f t="shared" si="2"/>
        <v>0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22.5" customHeight="1">
      <c r="A62" s="22">
        <v>46264.0</v>
      </c>
      <c r="B62" s="38"/>
      <c r="C62" s="38"/>
      <c r="D62" s="38"/>
      <c r="E62" s="38"/>
      <c r="F62" s="41"/>
      <c r="G62" s="42">
        <f t="shared" si="2"/>
        <v>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22.5" customHeight="1">
      <c r="A63" s="22">
        <v>46265.0</v>
      </c>
      <c r="B63" s="38" t="s">
        <v>42</v>
      </c>
      <c r="C63" s="38" t="s">
        <v>78</v>
      </c>
      <c r="D63" s="38">
        <v>1.0</v>
      </c>
      <c r="E63" s="38" t="s">
        <v>79</v>
      </c>
      <c r="F63" s="41">
        <v>2940000.0</v>
      </c>
      <c r="G63" s="42">
        <f t="shared" si="2"/>
        <v>2940000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</sheetData>
  <dataValidations>
    <dataValidation type="custom" allowBlank="1" showDropDown="1" sqref="A2:A63">
      <formula1>OR(NOT(ISERROR(DATEVALUE(A2))), AND(ISNUMBER(A2), LEFT(CELL("format", A2))="D"))</formula1>
    </dataValidation>
    <dataValidation type="custom" allowBlank="1" showDropDown="1" sqref="F2:G6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3" max="3" width="13.25"/>
    <col customWidth="1" min="4" max="4" width="13.13"/>
    <col customWidth="1" min="5" max="6" width="16.38"/>
  </cols>
  <sheetData>
    <row r="1">
      <c r="A1" s="10" t="s">
        <v>8</v>
      </c>
    </row>
    <row r="2">
      <c r="A2" s="12"/>
      <c r="B2" s="12"/>
      <c r="C2" s="12"/>
      <c r="D2" s="12"/>
      <c r="E2" s="12"/>
      <c r="F2" s="15"/>
    </row>
    <row r="3">
      <c r="A3" s="12"/>
      <c r="B3" s="12"/>
      <c r="C3" s="12"/>
      <c r="D3" s="12"/>
      <c r="E3" s="12"/>
      <c r="F3" s="15"/>
    </row>
    <row r="4" ht="22.5" customHeight="1">
      <c r="A4" s="19" t="s">
        <v>0</v>
      </c>
      <c r="B4" s="19" t="s">
        <v>20</v>
      </c>
      <c r="C4" s="19" t="s">
        <v>26</v>
      </c>
      <c r="D4" s="19" t="s">
        <v>28</v>
      </c>
      <c r="E4" s="19" t="s">
        <v>31</v>
      </c>
      <c r="F4" s="15"/>
    </row>
    <row r="5" ht="22.5" customHeight="1">
      <c r="A5" s="22">
        <v>46235.0</v>
      </c>
      <c r="B5" s="23">
        <v>500000.0</v>
      </c>
      <c r="C5" s="23">
        <v>500000.0</v>
      </c>
      <c r="D5" s="23">
        <v>500000.0</v>
      </c>
      <c r="E5" s="23">
        <f t="shared" ref="E5:E10" si="1">SUM(B5:D5)</f>
        <v>1500000</v>
      </c>
    </row>
    <row r="6" ht="22.5" customHeight="1">
      <c r="A6" s="22">
        <v>46236.0</v>
      </c>
      <c r="B6" s="23">
        <v>50000.0</v>
      </c>
      <c r="C6" s="23">
        <v>50000.0</v>
      </c>
      <c r="D6" s="23">
        <v>4000000.0</v>
      </c>
      <c r="E6" s="23">
        <f t="shared" si="1"/>
        <v>4100000</v>
      </c>
    </row>
    <row r="7" ht="22.5" customHeight="1">
      <c r="A7" s="22"/>
      <c r="B7" s="23"/>
      <c r="C7" s="23"/>
      <c r="D7" s="23"/>
      <c r="E7" s="23">
        <f t="shared" si="1"/>
        <v>0</v>
      </c>
    </row>
    <row r="8" ht="22.5" customHeight="1">
      <c r="A8" s="22"/>
      <c r="B8" s="23"/>
      <c r="C8" s="23"/>
      <c r="D8" s="23"/>
      <c r="E8" s="23">
        <f t="shared" si="1"/>
        <v>0</v>
      </c>
    </row>
    <row r="9" ht="22.5" customHeight="1">
      <c r="A9" s="22"/>
      <c r="B9" s="23"/>
      <c r="C9" s="23"/>
      <c r="D9" s="23"/>
      <c r="E9" s="28">
        <f t="shared" si="1"/>
        <v>0</v>
      </c>
    </row>
    <row r="10" ht="22.5" customHeight="1">
      <c r="A10" s="22"/>
      <c r="B10" s="23"/>
      <c r="C10" s="23"/>
      <c r="D10" s="23"/>
      <c r="E10" s="28">
        <f t="shared" si="1"/>
        <v>0</v>
      </c>
    </row>
    <row r="11" ht="22.5" customHeight="1">
      <c r="A11" s="36"/>
      <c r="B11" s="37">
        <f>SUM(TRANSAKSI_BY[QRIS])</f>
        <v>550000</v>
      </c>
      <c r="C11" s="37">
        <f>SUM(TRANSAKSI_BY[DEBIT])</f>
        <v>550000</v>
      </c>
      <c r="D11" s="37">
        <f>SUM(TRANSAKSI_BY[CASH])</f>
        <v>4500000</v>
      </c>
      <c r="E11" s="37">
        <f>SUM(TRANSAKSI_BY[TOTAL])</f>
        <v>5600000</v>
      </c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</sheetData>
  <mergeCells count="1">
    <mergeCell ref="A1:F1"/>
  </mergeCells>
  <dataValidations>
    <dataValidation type="custom" allowBlank="1" showDropDown="1" sqref="B5:E10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5.75"/>
    <col customWidth="1" min="5" max="5" width="26.13"/>
    <col customWidth="1" min="6" max="6" width="25.38"/>
    <col customWidth="1" min="7" max="7" width="26.13"/>
  </cols>
  <sheetData>
    <row r="3">
      <c r="A3" s="1" t="s">
        <v>0</v>
      </c>
      <c r="B3" s="2" t="s">
        <v>1</v>
      </c>
      <c r="C3" s="3"/>
      <c r="D3" s="4"/>
      <c r="E3" s="1" t="s">
        <v>2</v>
      </c>
      <c r="F3" s="1" t="s">
        <v>3</v>
      </c>
      <c r="G3" s="5" t="s">
        <v>4</v>
      </c>
    </row>
    <row r="4">
      <c r="A4" s="6"/>
      <c r="B4" s="7" t="s">
        <v>5</v>
      </c>
      <c r="C4" s="7" t="s">
        <v>6</v>
      </c>
      <c r="D4" s="7" t="s">
        <v>7</v>
      </c>
      <c r="E4" s="6"/>
      <c r="F4" s="6"/>
      <c r="G4" s="6"/>
    </row>
    <row r="5">
      <c r="A5" s="8">
        <v>46235.0</v>
      </c>
      <c r="B5" s="9">
        <v>500000.0</v>
      </c>
      <c r="C5" s="9">
        <v>600000.0</v>
      </c>
      <c r="D5" s="9">
        <v>400000.0</v>
      </c>
      <c r="E5" s="16">
        <f t="shared" ref="E5:E35" si="1">B5+C5+D5</f>
        <v>1500000</v>
      </c>
      <c r="F5" s="20">
        <f>'Total pengeluaran'!C8</f>
        <v>310000</v>
      </c>
      <c r="G5" s="16">
        <f t="shared" ref="G5:G7" si="2">E5-F5</f>
        <v>1190000</v>
      </c>
    </row>
    <row r="6">
      <c r="A6" s="8">
        <v>46236.0</v>
      </c>
      <c r="B6" s="9">
        <v>1300000.0</v>
      </c>
      <c r="C6" s="9">
        <v>1500000.0</v>
      </c>
      <c r="D6" s="9">
        <v>1300000.0</v>
      </c>
      <c r="E6" s="16">
        <f t="shared" si="1"/>
        <v>4100000</v>
      </c>
      <c r="F6" s="20">
        <f>'Total pengeluaran'!D8</f>
        <v>1543000</v>
      </c>
      <c r="G6" s="16">
        <f t="shared" si="2"/>
        <v>2557000</v>
      </c>
    </row>
    <row r="7">
      <c r="A7" s="8">
        <v>46237.0</v>
      </c>
      <c r="B7" s="9">
        <v>0.0</v>
      </c>
      <c r="C7" s="9">
        <v>0.0</v>
      </c>
      <c r="D7" s="9">
        <v>0.0</v>
      </c>
      <c r="E7" s="16">
        <f t="shared" si="1"/>
        <v>0</v>
      </c>
      <c r="F7" s="20">
        <f>'Total pengeluaran'!E8</f>
        <v>1513000</v>
      </c>
      <c r="G7" s="16">
        <f t="shared" si="2"/>
        <v>-1513000</v>
      </c>
    </row>
    <row r="8">
      <c r="A8" s="8">
        <v>46238.0</v>
      </c>
      <c r="B8" s="16"/>
      <c r="C8" s="16"/>
      <c r="D8" s="9"/>
      <c r="E8" s="16">
        <f t="shared" si="1"/>
        <v>0</v>
      </c>
      <c r="F8" s="20">
        <f>'Total pengeluaran'!F8</f>
        <v>534000</v>
      </c>
      <c r="G8" s="25"/>
    </row>
    <row r="9">
      <c r="A9" s="8">
        <v>46239.0</v>
      </c>
      <c r="B9" s="16"/>
      <c r="C9" s="16"/>
      <c r="D9" s="9"/>
      <c r="E9" s="16">
        <f t="shared" si="1"/>
        <v>0</v>
      </c>
      <c r="F9" s="20">
        <f>'Total pengeluaran'!G8</f>
        <v>534000</v>
      </c>
      <c r="G9" s="25"/>
    </row>
    <row r="10">
      <c r="A10" s="8">
        <v>46240.0</v>
      </c>
      <c r="B10" s="27"/>
      <c r="C10" s="27"/>
      <c r="D10" s="9"/>
      <c r="E10" s="16">
        <f t="shared" si="1"/>
        <v>0</v>
      </c>
      <c r="F10" s="30"/>
      <c r="G10" s="30"/>
    </row>
    <row r="11">
      <c r="A11" s="8">
        <v>46241.0</v>
      </c>
      <c r="B11" s="27"/>
      <c r="C11" s="27"/>
      <c r="D11" s="9"/>
      <c r="E11" s="16">
        <f t="shared" si="1"/>
        <v>0</v>
      </c>
      <c r="F11" s="30"/>
      <c r="G11" s="30"/>
    </row>
    <row r="12">
      <c r="A12" s="8">
        <v>46242.0</v>
      </c>
      <c r="B12" s="27"/>
      <c r="C12" s="27"/>
      <c r="D12" s="9"/>
      <c r="E12" s="16">
        <f t="shared" si="1"/>
        <v>0</v>
      </c>
      <c r="F12" s="30"/>
      <c r="G12" s="30"/>
    </row>
    <row r="13">
      <c r="A13" s="8">
        <v>46243.0</v>
      </c>
      <c r="B13" s="27"/>
      <c r="C13" s="27"/>
      <c r="D13" s="9"/>
      <c r="E13" s="16">
        <f t="shared" si="1"/>
        <v>0</v>
      </c>
      <c r="F13" s="30"/>
      <c r="G13" s="30"/>
    </row>
    <row r="14">
      <c r="A14" s="8">
        <v>46244.0</v>
      </c>
      <c r="B14" s="27"/>
      <c r="C14" s="27"/>
      <c r="D14" s="9"/>
      <c r="E14" s="16">
        <f t="shared" si="1"/>
        <v>0</v>
      </c>
      <c r="F14" s="30"/>
      <c r="G14" s="30"/>
    </row>
    <row r="15">
      <c r="A15" s="8">
        <v>46245.0</v>
      </c>
      <c r="B15" s="27"/>
      <c r="C15" s="27"/>
      <c r="D15" s="9"/>
      <c r="E15" s="16">
        <f t="shared" si="1"/>
        <v>0</v>
      </c>
      <c r="F15" s="30"/>
      <c r="G15" s="30"/>
    </row>
    <row r="16">
      <c r="A16" s="8">
        <v>46246.0</v>
      </c>
      <c r="B16" s="27"/>
      <c r="C16" s="27"/>
      <c r="D16" s="9"/>
      <c r="E16" s="16">
        <f t="shared" si="1"/>
        <v>0</v>
      </c>
      <c r="F16" s="30"/>
      <c r="G16" s="30"/>
    </row>
    <row r="17">
      <c r="A17" s="8">
        <v>46247.0</v>
      </c>
      <c r="B17" s="27"/>
      <c r="C17" s="27"/>
      <c r="D17" s="9"/>
      <c r="E17" s="16">
        <f t="shared" si="1"/>
        <v>0</v>
      </c>
      <c r="F17" s="30"/>
      <c r="G17" s="30"/>
    </row>
    <row r="18">
      <c r="A18" s="8">
        <v>46248.0</v>
      </c>
      <c r="B18" s="30"/>
      <c r="C18" s="27"/>
      <c r="D18" s="9"/>
      <c r="E18" s="16">
        <f t="shared" si="1"/>
        <v>0</v>
      </c>
      <c r="F18" s="30"/>
      <c r="G18" s="30"/>
    </row>
    <row r="19">
      <c r="A19" s="8">
        <v>46249.0</v>
      </c>
      <c r="B19" s="30"/>
      <c r="C19" s="30"/>
      <c r="D19" s="9"/>
      <c r="E19" s="16">
        <f t="shared" si="1"/>
        <v>0</v>
      </c>
      <c r="F19" s="30"/>
      <c r="G19" s="30"/>
    </row>
    <row r="20">
      <c r="A20" s="8">
        <v>46250.0</v>
      </c>
      <c r="B20" s="30"/>
      <c r="C20" s="30"/>
      <c r="D20" s="9"/>
      <c r="E20" s="16">
        <f t="shared" si="1"/>
        <v>0</v>
      </c>
      <c r="F20" s="30"/>
      <c r="G20" s="30"/>
    </row>
    <row r="21">
      <c r="A21" s="8">
        <v>46251.0</v>
      </c>
      <c r="B21" s="30"/>
      <c r="C21" s="30"/>
      <c r="D21" s="9"/>
      <c r="E21" s="16">
        <f t="shared" si="1"/>
        <v>0</v>
      </c>
      <c r="F21" s="30"/>
      <c r="G21" s="30"/>
    </row>
    <row r="22">
      <c r="A22" s="8">
        <v>46252.0</v>
      </c>
      <c r="B22" s="30"/>
      <c r="C22" s="30"/>
      <c r="D22" s="9"/>
      <c r="E22" s="16">
        <f t="shared" si="1"/>
        <v>0</v>
      </c>
      <c r="F22" s="30"/>
      <c r="G22" s="30"/>
    </row>
    <row r="23">
      <c r="A23" s="8">
        <v>46253.0</v>
      </c>
      <c r="B23" s="30"/>
      <c r="C23" s="30"/>
      <c r="D23" s="30"/>
      <c r="E23" s="16">
        <f t="shared" si="1"/>
        <v>0</v>
      </c>
      <c r="F23" s="30"/>
      <c r="G23" s="30"/>
    </row>
    <row r="24">
      <c r="A24" s="8">
        <v>46254.0</v>
      </c>
      <c r="B24" s="30"/>
      <c r="C24" s="30"/>
      <c r="D24" s="30"/>
      <c r="E24" s="16">
        <f t="shared" si="1"/>
        <v>0</v>
      </c>
      <c r="F24" s="30"/>
      <c r="G24" s="30"/>
    </row>
    <row r="25">
      <c r="A25" s="8">
        <v>46255.0</v>
      </c>
      <c r="B25" s="30"/>
      <c r="C25" s="30"/>
      <c r="D25" s="30"/>
      <c r="E25" s="16">
        <f t="shared" si="1"/>
        <v>0</v>
      </c>
      <c r="F25" s="30"/>
      <c r="G25" s="30"/>
    </row>
    <row r="26">
      <c r="A26" s="8">
        <v>46256.0</v>
      </c>
      <c r="B26" s="30"/>
      <c r="C26" s="30"/>
      <c r="D26" s="30"/>
      <c r="E26" s="16">
        <f t="shared" si="1"/>
        <v>0</v>
      </c>
      <c r="F26" s="30"/>
      <c r="G26" s="30"/>
    </row>
    <row r="27">
      <c r="A27" s="8">
        <v>46257.0</v>
      </c>
      <c r="B27" s="30"/>
      <c r="C27" s="30"/>
      <c r="D27" s="30"/>
      <c r="E27" s="16">
        <f t="shared" si="1"/>
        <v>0</v>
      </c>
      <c r="F27" s="30"/>
      <c r="G27" s="30"/>
    </row>
    <row r="28">
      <c r="A28" s="8">
        <v>46258.0</v>
      </c>
      <c r="B28" s="30"/>
      <c r="C28" s="30"/>
      <c r="D28" s="30"/>
      <c r="E28" s="16">
        <f t="shared" si="1"/>
        <v>0</v>
      </c>
      <c r="F28" s="30"/>
      <c r="G28" s="30"/>
    </row>
    <row r="29">
      <c r="A29" s="8">
        <v>46259.0</v>
      </c>
      <c r="B29" s="30"/>
      <c r="C29" s="30"/>
      <c r="D29" s="30"/>
      <c r="E29" s="16">
        <f t="shared" si="1"/>
        <v>0</v>
      </c>
      <c r="F29" s="30"/>
      <c r="G29" s="30"/>
    </row>
    <row r="30">
      <c r="A30" s="8">
        <v>46260.0</v>
      </c>
      <c r="B30" s="30"/>
      <c r="C30" s="30"/>
      <c r="D30" s="30"/>
      <c r="E30" s="16">
        <f t="shared" si="1"/>
        <v>0</v>
      </c>
      <c r="F30" s="30"/>
      <c r="G30" s="30"/>
    </row>
    <row r="31">
      <c r="A31" s="8">
        <v>46261.0</v>
      </c>
      <c r="B31" s="30"/>
      <c r="C31" s="30"/>
      <c r="D31" s="30"/>
      <c r="E31" s="16">
        <f t="shared" si="1"/>
        <v>0</v>
      </c>
      <c r="F31" s="30"/>
      <c r="G31" s="30"/>
    </row>
    <row r="32">
      <c r="A32" s="8">
        <v>46262.0</v>
      </c>
      <c r="B32" s="30"/>
      <c r="C32" s="30"/>
      <c r="D32" s="30"/>
      <c r="E32" s="16">
        <f t="shared" si="1"/>
        <v>0</v>
      </c>
      <c r="F32" s="30"/>
      <c r="G32" s="30"/>
    </row>
    <row r="33">
      <c r="A33" s="8">
        <v>46263.0</v>
      </c>
      <c r="B33" s="30"/>
      <c r="C33" s="30"/>
      <c r="D33" s="30"/>
      <c r="E33" s="16">
        <f t="shared" si="1"/>
        <v>0</v>
      </c>
      <c r="F33" s="30"/>
      <c r="G33" s="30"/>
    </row>
    <row r="34">
      <c r="A34" s="8">
        <v>46264.0</v>
      </c>
      <c r="B34" s="30"/>
      <c r="C34" s="30"/>
      <c r="D34" s="30"/>
      <c r="E34" s="16">
        <f t="shared" si="1"/>
        <v>0</v>
      </c>
      <c r="F34" s="30"/>
      <c r="G34" s="30"/>
    </row>
    <row r="35">
      <c r="A35" s="31">
        <v>46265.0</v>
      </c>
      <c r="B35" s="32"/>
      <c r="C35" s="32"/>
      <c r="D35" s="32"/>
      <c r="E35" s="16">
        <f t="shared" si="1"/>
        <v>0</v>
      </c>
      <c r="F35" s="32"/>
      <c r="G35" s="32"/>
    </row>
    <row r="36">
      <c r="A36" s="33" t="s">
        <v>31</v>
      </c>
      <c r="B36" s="34">
        <f t="shared" ref="B36:G36" si="3">SUM(B5:B35)</f>
        <v>1800000</v>
      </c>
      <c r="C36" s="34">
        <f t="shared" si="3"/>
        <v>2100000</v>
      </c>
      <c r="D36" s="34">
        <f t="shared" si="3"/>
        <v>1700000</v>
      </c>
      <c r="E36" s="34">
        <f t="shared" si="3"/>
        <v>5600000</v>
      </c>
      <c r="F36" s="35">
        <f t="shared" si="3"/>
        <v>4434000</v>
      </c>
      <c r="G36" s="34">
        <f t="shared" si="3"/>
        <v>2234000</v>
      </c>
    </row>
  </sheetData>
  <mergeCells count="5">
    <mergeCell ref="A3:A4"/>
    <mergeCell ref="B3:D3"/>
    <mergeCell ref="E3:E4"/>
    <mergeCell ref="F3:F4"/>
    <mergeCell ref="G3:G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5" max="5" width="13.75"/>
    <col customWidth="1" min="6" max="6" width="19.75"/>
    <col customWidth="1" min="8" max="8" width="13.0"/>
    <col customWidth="1" min="9" max="9" width="14.38"/>
    <col customWidth="1" min="10" max="10" width="14.75"/>
    <col customWidth="1" min="11" max="11" width="13.75"/>
  </cols>
  <sheetData>
    <row r="1">
      <c r="A1" s="39" t="s">
        <v>55</v>
      </c>
    </row>
    <row r="2">
      <c r="A2" s="40"/>
      <c r="B2" s="40"/>
      <c r="C2" s="40"/>
      <c r="D2" s="40"/>
      <c r="E2" s="40"/>
      <c r="F2" s="40"/>
      <c r="G2" s="40"/>
      <c r="H2" s="40"/>
      <c r="I2" s="40"/>
      <c r="J2" s="40"/>
    </row>
    <row r="3">
      <c r="A3" s="40"/>
      <c r="B3" s="40"/>
      <c r="C3" s="40"/>
      <c r="D3" s="40"/>
      <c r="E3" s="40"/>
      <c r="F3" s="40"/>
      <c r="G3" s="40"/>
      <c r="H3" s="40"/>
      <c r="I3" s="40"/>
      <c r="J3" s="40"/>
    </row>
    <row r="4" ht="22.5" customHeight="1">
      <c r="A4" s="19" t="s">
        <v>0</v>
      </c>
      <c r="B4" s="11" t="s">
        <v>57</v>
      </c>
      <c r="C4" s="11" t="s">
        <v>58</v>
      </c>
      <c r="D4" s="11" t="s">
        <v>60</v>
      </c>
      <c r="E4" s="11" t="s">
        <v>31</v>
      </c>
      <c r="F4" s="11" t="s">
        <v>63</v>
      </c>
      <c r="G4" s="40"/>
      <c r="H4" s="19" t="s">
        <v>0</v>
      </c>
      <c r="I4" s="19" t="s">
        <v>66</v>
      </c>
      <c r="J4" s="19" t="s">
        <v>67</v>
      </c>
      <c r="K4" s="19" t="s">
        <v>31</v>
      </c>
    </row>
    <row r="5" ht="22.5" customHeight="1">
      <c r="A5" s="22">
        <v>46234.0</v>
      </c>
      <c r="B5" s="24" t="s">
        <v>70</v>
      </c>
      <c r="C5" s="24">
        <v>12.0</v>
      </c>
      <c r="D5" s="24" t="s">
        <v>71</v>
      </c>
      <c r="E5" s="26">
        <v>100000.0</v>
      </c>
      <c r="F5" s="28">
        <f t="shared" ref="F5:F6" si="1">E5*C5</f>
        <v>1200000</v>
      </c>
      <c r="G5" s="40"/>
      <c r="H5" s="22">
        <v>46234.0</v>
      </c>
      <c r="I5" s="44">
        <v>5000000.0</v>
      </c>
      <c r="J5" s="44">
        <f t="shared" ref="J5:J6" si="2">F5</f>
        <v>1200000</v>
      </c>
      <c r="K5" s="44">
        <f t="shared" ref="K5:K6" si="3">I5-J5</f>
        <v>3800000</v>
      </c>
    </row>
    <row r="6" ht="22.5" customHeight="1">
      <c r="A6" s="22">
        <v>46236.0</v>
      </c>
      <c r="B6" s="24" t="s">
        <v>73</v>
      </c>
      <c r="C6" s="24">
        <v>1.0</v>
      </c>
      <c r="D6" s="24" t="s">
        <v>71</v>
      </c>
      <c r="E6" s="26">
        <v>3000000.0</v>
      </c>
      <c r="F6" s="28">
        <f t="shared" si="1"/>
        <v>3000000</v>
      </c>
      <c r="G6" s="40"/>
      <c r="H6" s="22">
        <v>46236.0</v>
      </c>
      <c r="I6" s="44">
        <v>0.0</v>
      </c>
      <c r="J6" s="44">
        <f t="shared" si="2"/>
        <v>3000000</v>
      </c>
      <c r="K6" s="44">
        <f t="shared" si="3"/>
        <v>-3000000</v>
      </c>
    </row>
    <row r="7" ht="22.5" customHeight="1">
      <c r="A7" s="45"/>
      <c r="B7" s="46"/>
      <c r="C7" s="46"/>
      <c r="D7" s="46"/>
      <c r="F7" s="28">
        <f>SUM(KAS_KELUAR[TOTAL HARGA])</f>
        <v>4200000</v>
      </c>
      <c r="G7" s="40"/>
      <c r="H7" s="22"/>
      <c r="I7" s="44"/>
      <c r="J7" s="44"/>
      <c r="K7" s="44">
        <f>TABUNGAN[MASUK]-TABUNGAN[KELUAR]</f>
        <v>0</v>
      </c>
    </row>
    <row r="8" ht="22.5" customHeight="1">
      <c r="A8" s="40"/>
      <c r="B8" s="40"/>
      <c r="C8" s="40"/>
      <c r="D8" s="40"/>
      <c r="E8" s="47"/>
      <c r="F8" s="40"/>
      <c r="H8" s="45"/>
      <c r="K8" s="28">
        <f>SUM(TABUNGAN[TOTAL])</f>
        <v>800000</v>
      </c>
    </row>
    <row r="9">
      <c r="E9" s="47"/>
    </row>
    <row r="10">
      <c r="E10" s="47"/>
    </row>
    <row r="11">
      <c r="E11" s="47"/>
    </row>
    <row r="12">
      <c r="E12" s="47"/>
    </row>
    <row r="13">
      <c r="E13" s="47"/>
    </row>
    <row r="14">
      <c r="A14" s="48"/>
      <c r="E14" s="47"/>
    </row>
    <row r="15">
      <c r="E15" s="47"/>
    </row>
    <row r="16">
      <c r="E16" s="47"/>
    </row>
    <row r="17">
      <c r="E17" s="47"/>
    </row>
    <row r="18">
      <c r="E18" s="47"/>
      <c r="G18" s="40"/>
      <c r="L18" s="40"/>
      <c r="M18" s="40"/>
      <c r="N18" s="40"/>
    </row>
    <row r="19">
      <c r="C19" s="40"/>
      <c r="D19" s="40"/>
      <c r="E19" s="47"/>
      <c r="F19" s="40"/>
      <c r="G19" s="40"/>
      <c r="H19" s="40"/>
      <c r="I19" s="40"/>
      <c r="J19" s="40"/>
      <c r="K19" s="40"/>
      <c r="L19" s="40"/>
      <c r="M19" s="40"/>
      <c r="N19" s="40"/>
    </row>
    <row r="20">
      <c r="C20" s="40"/>
      <c r="D20" s="40"/>
      <c r="E20" s="47"/>
      <c r="F20" s="40"/>
      <c r="G20" s="40"/>
      <c r="H20" s="40"/>
      <c r="I20" s="40"/>
      <c r="J20" s="40"/>
      <c r="K20" s="40"/>
      <c r="L20" s="40"/>
      <c r="M20" s="40"/>
      <c r="N20" s="40"/>
    </row>
    <row r="21">
      <c r="C21" s="40"/>
      <c r="D21" s="40"/>
      <c r="E21" s="47"/>
      <c r="F21" s="40"/>
      <c r="G21" s="40"/>
      <c r="H21" s="40"/>
      <c r="I21" s="40"/>
      <c r="J21" s="40"/>
      <c r="K21" s="40"/>
      <c r="L21" s="40"/>
      <c r="M21" s="40"/>
      <c r="N21" s="40"/>
    </row>
    <row r="22">
      <c r="C22" s="40"/>
      <c r="D22" s="40"/>
      <c r="E22" s="47"/>
      <c r="F22" s="40"/>
      <c r="G22" s="40"/>
      <c r="H22" s="40"/>
      <c r="I22" s="40"/>
      <c r="J22" s="40"/>
      <c r="K22" s="40"/>
      <c r="L22" s="40"/>
      <c r="M22" s="40"/>
      <c r="N22" s="40"/>
    </row>
    <row r="23">
      <c r="C23" s="40"/>
      <c r="D23" s="40"/>
      <c r="E23" s="47"/>
      <c r="F23" s="40"/>
      <c r="G23" s="40"/>
      <c r="H23" s="40"/>
      <c r="I23" s="40"/>
      <c r="J23" s="40"/>
      <c r="K23" s="40"/>
      <c r="L23" s="40"/>
      <c r="M23" s="40"/>
      <c r="N23" s="40"/>
    </row>
    <row r="24">
      <c r="C24" s="40"/>
      <c r="D24" s="40"/>
      <c r="E24" s="47"/>
      <c r="F24" s="40"/>
      <c r="H24" s="40"/>
      <c r="I24" s="40"/>
      <c r="J24" s="40"/>
      <c r="K24" s="40"/>
    </row>
    <row r="25">
      <c r="E25" s="47"/>
    </row>
    <row r="26">
      <c r="E26" s="47"/>
    </row>
    <row r="27">
      <c r="E27" s="47"/>
    </row>
    <row r="28">
      <c r="E28" s="47"/>
    </row>
    <row r="29">
      <c r="E29" s="47"/>
    </row>
    <row r="30">
      <c r="E30" s="47"/>
    </row>
    <row r="31">
      <c r="E31" s="47"/>
    </row>
    <row r="32">
      <c r="E32" s="47"/>
    </row>
    <row r="33">
      <c r="E33" s="47"/>
    </row>
    <row r="34">
      <c r="E34" s="47"/>
    </row>
    <row r="35">
      <c r="E35" s="47"/>
    </row>
    <row r="36">
      <c r="E36" s="47"/>
    </row>
  </sheetData>
  <dataValidations>
    <dataValidation type="custom" allowBlank="1" showDropDown="1" sqref="E5:F6 I5:K7">
      <formula1>AND(ISNUMBER(E5),(NOT(OR(NOT(ISERROR(DATEVALUE(E5))), AND(ISNUMBER(E5), LEFT(CELL("format", E5))="D")))))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0.5"/>
    <col customWidth="1" min="4" max="4" width="16.63"/>
  </cols>
  <sheetData>
    <row r="2" ht="22.5" customHeight="1">
      <c r="A2" s="11" t="s">
        <v>59</v>
      </c>
      <c r="B2" s="11" t="s">
        <v>61</v>
      </c>
      <c r="C2" s="43" t="s">
        <v>62</v>
      </c>
      <c r="D2" s="43" t="s">
        <v>64</v>
      </c>
    </row>
    <row r="3" ht="22.5" customHeight="1">
      <c r="A3" s="38" t="s">
        <v>65</v>
      </c>
      <c r="B3" s="41">
        <v>2.94E7</v>
      </c>
      <c r="C3" s="29"/>
    </row>
    <row r="4">
      <c r="F4" s="39" t="s">
        <v>68</v>
      </c>
    </row>
    <row r="5">
      <c r="F5" s="39" t="s">
        <v>69</v>
      </c>
    </row>
  </sheetData>
  <dataValidations>
    <dataValidation type="custom" allowBlank="1" showDropDown="1" sqref="B3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